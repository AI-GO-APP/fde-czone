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辨識API費用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<sst xmlns="http://schemas.openxmlformats.org/spreadsheetml/2006/main" count="39" uniqueCount="39">
  <si>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r>
      <rPr>
        <b val="true"/>
        <sz val="14"/>
        <rFont val="Calibri"/>
        <family val="2"/>
        <charset val="1"/>
      </rPr>
      <t xml:space="preserve">車牌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Calibri"/>
        <family val="2"/>
        <charset val="1"/>
      </rPr>
      <t xml:space="preserve">磅數辨識　辨識 </t>
    </r>
    <r>
      <rPr>
        <b val="true"/>
        <sz val="14"/>
        <rFont val="Arial"/>
        <family val="0"/>
        <charset val="1"/>
      </rPr>
      <t xml:space="preserve">API </t>
    </r>
    <r>
      <rPr>
        <b val="true"/>
        <sz val="14"/>
        <rFont val="Calibri"/>
        <family val="2"/>
        <charset val="1"/>
      </rPr>
      <t xml:space="preserve">費用試算（</t>
    </r>
    <r>
      <rPr>
        <b val="true"/>
        <sz val="14"/>
        <rFont val="Arial"/>
        <family val="0"/>
        <charset val="1"/>
      </rPr>
      <t xml:space="preserve">Gemini-only </t>
    </r>
    <r>
      <rPr>
        <b val="true"/>
        <sz val="14"/>
        <rFont val="Calibri"/>
        <family val="2"/>
        <charset val="1"/>
      </rPr>
      <t xml:space="preserve">版）</t>
    </r>
  </si>
  <si>
    <r>
      <rPr>
        <i val="true"/>
        <sz val="9"/>
        <color rgb="FF595959"/>
        <rFont val="Calibri"/>
        <family val="2"/>
        <charset val="1"/>
      </rPr>
      <t xml:space="preserve">範圍：僅辨識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Calibri"/>
        <family val="2"/>
        <charset val="1"/>
      </rPr>
      <t xml:space="preserve">月租使用費（不含開發、現場 </t>
    </r>
    <r>
      <rPr>
        <i val="true"/>
        <sz val="9"/>
        <color rgb="FF595959"/>
        <rFont val="Arial"/>
        <family val="0"/>
        <charset val="1"/>
      </rPr>
      <t xml:space="preserve">agent</t>
    </r>
    <r>
      <rPr>
        <i val="true"/>
        <sz val="9"/>
        <color rgb="FF595959"/>
        <rFont val="Calibri"/>
        <family val="2"/>
        <charset val="1"/>
      </rPr>
      <t xml:space="preserve">、印表機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Calibri"/>
        <family val="2"/>
        <charset val="1"/>
      </rPr>
      <t xml:space="preserve">硬體、</t>
    </r>
    <r>
      <rPr>
        <i val="true"/>
        <sz val="9"/>
        <color rgb="FF595959"/>
        <rFont val="Arial"/>
        <family val="0"/>
        <charset val="1"/>
      </rPr>
      <t xml:space="preserve">aigo </t>
    </r>
    <r>
      <rPr>
        <i val="true"/>
        <sz val="9"/>
        <color rgb="FF595959"/>
        <rFont val="Calibri"/>
        <family val="2"/>
        <charset val="1"/>
      </rPr>
      <t xml:space="preserve">平台費）　報價日：</t>
    </r>
    <r>
      <rPr>
        <i val="true"/>
        <sz val="9"/>
        <color rgb="FF595959"/>
        <rFont val="Arial"/>
        <family val="0"/>
        <charset val="1"/>
      </rPr>
      <t xml:space="preserve">2026-06-15</t>
    </r>
  </si>
  <si>
    <r>
      <rPr>
        <i val="true"/>
        <sz val="9"/>
        <color rgb="FF595959"/>
        <rFont val="Calibri"/>
        <family val="2"/>
        <charset val="1"/>
      </rPr>
      <t xml:space="preserve">車牌與磅數統一用 </t>
    </r>
    <r>
      <rPr>
        <i val="true"/>
        <sz val="9"/>
        <color rgb="FF595959"/>
        <rFont val="Arial"/>
        <family val="0"/>
        <charset val="1"/>
      </rPr>
      <t xml:space="preserve">Google Gemini 2.5 Flash-Lite </t>
    </r>
    <r>
      <rPr>
        <i val="true"/>
        <sz val="9"/>
        <color rgb="FF595959"/>
        <rFont val="Calibri"/>
        <family val="2"/>
        <charset val="1"/>
      </rPr>
      <t xml:space="preserve">一支視覺模型（已捨棄 </t>
    </r>
    <r>
      <rPr>
        <i val="true"/>
        <sz val="9"/>
        <color rgb="FF595959"/>
        <rFont val="Arial"/>
        <family val="0"/>
        <charset val="1"/>
      </rPr>
      <t xml:space="preserve">Plate Recognizer</t>
    </r>
    <r>
      <rPr>
        <i val="true"/>
        <sz val="9"/>
        <color rgb="FF595959"/>
        <rFont val="Calibri"/>
        <family val="2"/>
        <charset val="1"/>
      </rPr>
      <t xml:space="preserve">，省 </t>
    </r>
    <r>
      <rPr>
        <i val="true"/>
        <sz val="9"/>
        <color rgb="FF595959"/>
        <rFont val="Arial"/>
        <family val="0"/>
        <charset val="1"/>
      </rPr>
      <t xml:space="preserve">$50/</t>
    </r>
    <r>
      <rPr>
        <i val="true"/>
        <sz val="9"/>
        <color rgb="FF595959"/>
        <rFont val="Calibri"/>
        <family val="2"/>
        <charset val="1"/>
      </rPr>
      <t xml:space="preserve">月）</t>
    </r>
  </si>
  <si>
    <t xml:space="preserve">【假設參數（可改）】</t>
  </si>
  <si>
    <t xml:space="preserve">車／日（待薪榮確認）</t>
  </si>
  <si>
    <t xml:space="preserve">台</t>
  </si>
  <si>
    <t xml:space="preserve">每車過磅次數</t>
  </si>
  <si>
    <t xml:space="preserve">次（一磅＋二磅）</t>
  </si>
  <si>
    <t xml:space="preserve">每月工作天</t>
  </si>
  <si>
    <t xml:space="preserve">天</t>
  </si>
  <si>
    <r>
      <rPr>
        <sz val="10"/>
        <rFont val="Arial"/>
        <family val="0"/>
        <charset val="1"/>
      </rPr>
      <t xml:space="preserve">USD→TWD </t>
    </r>
    <r>
      <rPr>
        <sz val="10"/>
        <rFont val="Calibri"/>
        <family val="2"/>
        <charset val="1"/>
      </rPr>
      <t xml:space="preserve">匯率</t>
    </r>
  </si>
  <si>
    <t xml:space="preserve">估</t>
  </si>
  <si>
    <r>
      <rPr>
        <b val="true"/>
        <sz val="11"/>
        <color rgb="FFFFFFFF"/>
        <rFont val="Calibri"/>
        <family val="2"/>
        <charset val="1"/>
      </rPr>
      <t xml:space="preserve">【</t>
    </r>
    <r>
      <rPr>
        <b val="true"/>
        <sz val="11"/>
        <color rgb="FFFFFFFF"/>
        <rFont val="Arial"/>
        <family val="0"/>
        <charset val="1"/>
      </rPr>
      <t xml:space="preserve">Gemini </t>
    </r>
    <r>
      <rPr>
        <b val="true"/>
        <sz val="11"/>
        <color rgb="FFFFFFFF"/>
        <rFont val="Calibri"/>
        <family val="2"/>
        <charset val="1"/>
      </rPr>
      <t xml:space="preserve">計價參考】</t>
    </r>
  </si>
  <si>
    <r>
      <rPr>
        <sz val="10"/>
        <rFont val="Calibri"/>
        <family val="2"/>
        <charset val="1"/>
      </rPr>
      <t xml:space="preserve">每張圖 </t>
    </r>
    <r>
      <rPr>
        <sz val="10"/>
        <rFont val="Arial"/>
        <family val="0"/>
        <charset val="1"/>
      </rPr>
      <t xml:space="preserve">tokens</t>
    </r>
    <r>
      <rPr>
        <sz val="10"/>
        <rFont val="Calibri"/>
        <family val="2"/>
        <charset val="1"/>
      </rPr>
      <t xml:space="preserve">（估）</t>
    </r>
  </si>
  <si>
    <r>
      <rPr>
        <sz val="10"/>
        <rFont val="Calibri"/>
        <family val="2"/>
        <charset val="1"/>
      </rPr>
      <t xml:space="preserve">輸入 </t>
    </r>
    <r>
      <rPr>
        <sz val="10"/>
        <rFont val="Arial"/>
        <family val="0"/>
        <charset val="1"/>
      </rPr>
      <t xml:space="preserve">$/1M tokens</t>
    </r>
  </si>
  <si>
    <r>
      <rPr>
        <sz val="10"/>
        <rFont val="Calibri"/>
        <family val="2"/>
        <charset val="1"/>
      </rPr>
      <t xml:space="preserve">輸出 </t>
    </r>
    <r>
      <rPr>
        <sz val="10"/>
        <rFont val="Arial"/>
        <family val="0"/>
        <charset val="1"/>
      </rPr>
      <t xml:space="preserve">tokens/</t>
    </r>
    <r>
      <rPr>
        <sz val="10"/>
        <rFont val="Calibri"/>
        <family val="2"/>
        <charset val="1"/>
      </rPr>
      <t xml:space="preserve">次</t>
    </r>
  </si>
  <si>
    <r>
      <rPr>
        <sz val="10"/>
        <rFont val="Calibri"/>
        <family val="2"/>
        <charset val="1"/>
      </rPr>
      <t xml:space="preserve">輸出 </t>
    </r>
    <r>
      <rPr>
        <sz val="10"/>
        <rFont val="Arial"/>
        <family val="0"/>
        <charset val="1"/>
      </rPr>
      <t xml:space="preserve">$/1M tokens</t>
    </r>
  </si>
  <si>
    <t xml:space="preserve">【每月用量與費用】</t>
  </si>
  <si>
    <r>
      <rPr>
        <sz val="10"/>
        <rFont val="Calibri"/>
        <family val="2"/>
        <charset val="1"/>
      </rPr>
      <t xml:space="preserve">車牌辨識次數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月</t>
    </r>
  </si>
  <si>
    <r>
      <rPr>
        <sz val="10"/>
        <rFont val="Calibri"/>
        <family val="2"/>
        <charset val="1"/>
      </rPr>
      <t xml:space="preserve">磅數辨識次數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月</t>
    </r>
  </si>
  <si>
    <r>
      <rPr>
        <sz val="10"/>
        <rFont val="Arial"/>
        <family val="0"/>
        <charset val="1"/>
      </rPr>
      <t xml:space="preserve">Gemini </t>
    </r>
    <r>
      <rPr>
        <sz val="10"/>
        <rFont val="Calibri"/>
        <family val="2"/>
        <charset val="1"/>
      </rPr>
      <t xml:space="preserve">總呼叫次數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月</t>
    </r>
  </si>
  <si>
    <t xml:space="preserve">每次費用</t>
  </si>
  <si>
    <r>
      <rPr>
        <sz val="10"/>
        <rFont val="Arial"/>
        <family val="0"/>
        <charset val="1"/>
      </rPr>
      <t xml:space="preserve">API </t>
    </r>
    <r>
      <rPr>
        <sz val="10"/>
        <rFont val="Calibri"/>
        <family val="2"/>
        <charset val="1"/>
      </rPr>
      <t xml:space="preserve">月費</t>
    </r>
  </si>
  <si>
    <t xml:space="preserve">【合計】</t>
  </si>
  <si>
    <r>
      <rPr>
        <sz val="10"/>
        <rFont val="Calibri"/>
        <family val="2"/>
        <charset val="1"/>
      </rPr>
      <t xml:space="preserve">月合計（</t>
    </r>
    <r>
      <rPr>
        <sz val="10"/>
        <rFont val="Arial"/>
        <family val="0"/>
        <charset val="1"/>
      </rPr>
      <t xml:space="preserve">USD</t>
    </r>
    <r>
      <rPr>
        <sz val="10"/>
        <rFont val="Calibri"/>
        <family val="2"/>
        <charset val="1"/>
      </rPr>
      <t xml:space="preserve">）</t>
    </r>
  </si>
  <si>
    <r>
      <rPr>
        <sz val="10"/>
        <rFont val="Calibri"/>
        <family val="2"/>
        <charset val="1"/>
      </rPr>
      <t xml:space="preserve">月合計（</t>
    </r>
    <r>
      <rPr>
        <sz val="10"/>
        <rFont val="Arial"/>
        <family val="0"/>
        <charset val="1"/>
      </rPr>
      <t xml:space="preserve">TWD</t>
    </r>
    <r>
      <rPr>
        <sz val="10"/>
        <rFont val="Calibri"/>
        <family val="2"/>
        <charset val="1"/>
      </rPr>
      <t xml:space="preserve">）</t>
    </r>
  </si>
  <si>
    <r>
      <rPr>
        <sz val="10"/>
        <rFont val="Calibri"/>
        <family val="2"/>
        <charset val="1"/>
      </rPr>
      <t xml:space="preserve">年合計（</t>
    </r>
    <r>
      <rPr>
        <sz val="10"/>
        <rFont val="Arial"/>
        <family val="0"/>
        <charset val="1"/>
      </rPr>
      <t xml:space="preserve">USD</t>
    </r>
    <r>
      <rPr>
        <sz val="10"/>
        <rFont val="Calibri"/>
        <family val="2"/>
        <charset val="1"/>
      </rPr>
      <t xml:space="preserve">）</t>
    </r>
  </si>
  <si>
    <r>
      <rPr>
        <sz val="10"/>
        <rFont val="Calibri"/>
        <family val="2"/>
        <charset val="1"/>
      </rPr>
      <t xml:space="preserve">年合計（</t>
    </r>
    <r>
      <rPr>
        <sz val="10"/>
        <rFont val="Arial"/>
        <family val="0"/>
        <charset val="1"/>
      </rPr>
      <t xml:space="preserve">TWD</t>
    </r>
    <r>
      <rPr>
        <sz val="10"/>
        <rFont val="Calibri"/>
        <family val="2"/>
        <charset val="1"/>
      </rPr>
      <t xml:space="preserve">）</t>
    </r>
  </si>
  <si>
    <t xml:space="preserve">【三種規模對照】</t>
  </si>
  <si>
    <t xml:space="preserve">車／日</t>
  </si>
  <si>
    <r>
      <rPr>
        <sz val="10"/>
        <rFont val="Arial"/>
        <family val="0"/>
        <charset val="1"/>
      </rPr>
      <t xml:space="preserve">Gemini </t>
    </r>
    <r>
      <rPr>
        <sz val="10"/>
        <rFont val="Calibri"/>
        <family val="2"/>
        <charset val="1"/>
      </rPr>
      <t xml:space="preserve">總呼叫次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月</t>
    </r>
  </si>
  <si>
    <r>
      <rPr>
        <b val="true"/>
        <sz val="10"/>
        <rFont val="Calibri"/>
        <family val="2"/>
        <charset val="1"/>
      </rPr>
      <t xml:space="preserve">月合計</t>
    </r>
    <r>
      <rPr>
        <b val="true"/>
        <sz val="10"/>
        <rFont val="Arial"/>
        <family val="0"/>
        <charset val="1"/>
      </rPr>
      <t xml:space="preserve">(USD)</t>
    </r>
  </si>
  <si>
    <r>
      <rPr>
        <b val="true"/>
        <sz val="10"/>
        <color rgb="FFC00000"/>
        <rFont val="Calibri"/>
        <family val="2"/>
        <charset val="1"/>
      </rPr>
      <t xml:space="preserve">月合計</t>
    </r>
    <r>
      <rPr>
        <b val="true"/>
        <sz val="10"/>
        <color rgb="FFC00000"/>
        <rFont val="Arial"/>
        <family val="0"/>
        <charset val="1"/>
      </rPr>
      <t xml:space="preserve">(TWD)</t>
    </r>
  </si>
  <si>
    <t xml:space="preserve">說明：</t>
  </si>
  <si>
    <r>
      <rPr>
        <i val="true"/>
        <sz val="9"/>
        <color rgb="FF595959"/>
        <rFont val="Arial"/>
        <family val="0"/>
        <charset val="1"/>
      </rPr>
      <t xml:space="preserve">1. </t>
    </r>
    <r>
      <rPr>
        <i val="true"/>
        <sz val="9"/>
        <color rgb="FF595959"/>
        <rFont val="Calibri"/>
        <family val="2"/>
        <charset val="1"/>
      </rPr>
      <t xml:space="preserve">車牌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Calibri"/>
        <family val="2"/>
        <charset val="1"/>
      </rPr>
      <t xml:space="preserve">磅數統一用 </t>
    </r>
    <r>
      <rPr>
        <i val="true"/>
        <sz val="9"/>
        <color rgb="FF595959"/>
        <rFont val="Arial"/>
        <family val="0"/>
        <charset val="1"/>
      </rPr>
      <t xml:space="preserve">Gemini 2.5 Flash-Lite</t>
    </r>
    <r>
      <rPr>
        <i val="true"/>
        <sz val="9"/>
        <color rgb="FF595959"/>
        <rFont val="Calibri"/>
        <family val="2"/>
        <charset val="1"/>
      </rPr>
      <t xml:space="preserve">，每次呼叫＝讀一張圖；每車 </t>
    </r>
    <r>
      <rPr>
        <i val="true"/>
        <sz val="9"/>
        <color rgb="FF595959"/>
        <rFont val="Arial"/>
        <family val="0"/>
        <charset val="1"/>
      </rPr>
      <t xml:space="preserve">2 </t>
    </r>
    <r>
      <rPr>
        <i val="true"/>
        <sz val="9"/>
        <color rgb="FF595959"/>
        <rFont val="Calibri"/>
        <family val="2"/>
        <charset val="1"/>
      </rPr>
      <t xml:space="preserve">次過磅 </t>
    </r>
    <r>
      <rPr>
        <i val="true"/>
        <sz val="9"/>
        <color rgb="FF595959"/>
        <rFont val="Arial"/>
        <family val="0"/>
        <charset val="1"/>
      </rPr>
      <t xml:space="preserve">×(</t>
    </r>
    <r>
      <rPr>
        <i val="true"/>
        <sz val="9"/>
        <color rgb="FF595959"/>
        <rFont val="Calibri"/>
        <family val="2"/>
        <charset val="1"/>
      </rPr>
      <t xml:space="preserve">車牌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Calibri"/>
        <family val="2"/>
        <charset val="1"/>
      </rPr>
      <t xml:space="preserve">磅數</t>
    </r>
    <r>
      <rPr>
        <i val="true"/>
        <sz val="9"/>
        <color rgb="FF595959"/>
        <rFont val="Arial"/>
        <family val="0"/>
        <charset val="1"/>
      </rPr>
      <t xml:space="preserve">)=4 </t>
    </r>
    <r>
      <rPr>
        <i val="true"/>
        <sz val="9"/>
        <color rgb="FF595959"/>
        <rFont val="Calibri"/>
        <family val="2"/>
        <charset val="1"/>
      </rPr>
      <t xml:space="preserve">次呼叫。</t>
    </r>
  </si>
  <si>
    <r>
      <rPr>
        <i val="true"/>
        <sz val="9"/>
        <color rgb="FF595959"/>
        <rFont val="Arial"/>
        <family val="0"/>
        <charset val="1"/>
      </rPr>
      <t xml:space="preserve">2. </t>
    </r>
    <r>
      <rPr>
        <i val="true"/>
        <sz val="9"/>
        <color rgb="FF595959"/>
        <rFont val="Calibri"/>
        <family val="2"/>
        <charset val="1"/>
      </rPr>
      <t xml:space="preserve">費用以圖片 </t>
    </r>
    <r>
      <rPr>
        <i val="true"/>
        <sz val="9"/>
        <color rgb="FF595959"/>
        <rFont val="Arial"/>
        <family val="0"/>
        <charset val="1"/>
      </rPr>
      <t xml:space="preserve">token </t>
    </r>
    <r>
      <rPr>
        <i val="true"/>
        <sz val="9"/>
        <color rgb="FF595959"/>
        <rFont val="Calibri"/>
        <family val="2"/>
        <charset val="1"/>
      </rPr>
      <t xml:space="preserve">估算，量小近乎免費；正式上線於 </t>
    </r>
    <r>
      <rPr>
        <i val="true"/>
        <sz val="9"/>
        <color rgb="FF595959"/>
        <rFont val="Arial"/>
        <family val="0"/>
        <charset val="1"/>
      </rPr>
      <t xml:space="preserve">Gemini </t>
    </r>
    <r>
      <rPr>
        <i val="true"/>
        <sz val="9"/>
        <color rgb="FF595959"/>
        <rFont val="Calibri"/>
        <family val="2"/>
        <charset val="1"/>
      </rPr>
      <t xml:space="preserve">專案開帳單確保穩定（免費額度有速率限制）。</t>
    </r>
  </si>
  <si>
    <r>
      <rPr>
        <i val="true"/>
        <sz val="9"/>
        <color rgb="FF595959"/>
        <rFont val="Arial"/>
        <family val="0"/>
        <charset val="1"/>
      </rPr>
      <t xml:space="preserve">3. </t>
    </r>
    <r>
      <rPr>
        <i val="true"/>
        <sz val="9"/>
        <color rgb="FF595959"/>
        <rFont val="Calibri"/>
        <family val="2"/>
        <charset val="1"/>
      </rPr>
      <t xml:space="preserve">退路：車牌若日後改回 </t>
    </r>
    <r>
      <rPr>
        <i val="true"/>
        <sz val="9"/>
        <color rgb="FF595959"/>
        <rFont val="Arial"/>
        <family val="0"/>
        <charset val="1"/>
      </rPr>
      <t xml:space="preserve">Plate Recognizer </t>
    </r>
    <r>
      <rPr>
        <i val="true"/>
        <sz val="9"/>
        <color rgb="FF595959"/>
        <rFont val="Calibri"/>
        <family val="2"/>
        <charset val="1"/>
      </rPr>
      <t xml:space="preserve">專用（有信心分數），月加約 </t>
    </r>
    <r>
      <rPr>
        <i val="true"/>
        <sz val="9"/>
        <color rgb="FF595959"/>
        <rFont val="Arial"/>
        <family val="0"/>
        <charset val="1"/>
      </rPr>
      <t xml:space="preserve">$50</t>
    </r>
    <r>
      <rPr>
        <i val="true"/>
        <sz val="9"/>
        <color rgb="FF595959"/>
        <rFont val="Calibri"/>
        <family val="2"/>
        <charset val="1"/>
      </rPr>
      <t xml:space="preserve">；目前實測 </t>
    </r>
    <r>
      <rPr>
        <i val="true"/>
        <sz val="9"/>
        <color rgb="FF595959"/>
        <rFont val="Arial"/>
        <family val="0"/>
        <charset val="1"/>
      </rPr>
      <t xml:space="preserve">Gemini </t>
    </r>
    <r>
      <rPr>
        <i val="true"/>
        <sz val="9"/>
        <color rgb="FF595959"/>
        <rFont val="Calibri"/>
        <family val="2"/>
        <charset val="1"/>
      </rPr>
      <t xml:space="preserve">足夠故不採。</t>
    </r>
  </si>
  <si>
    <r>
      <rPr>
        <i val="true"/>
        <sz val="9"/>
        <color rgb="FF595959"/>
        <rFont val="Arial"/>
        <family val="0"/>
        <charset val="1"/>
      </rPr>
      <t xml:space="preserve">4. </t>
    </r>
    <r>
      <rPr>
        <i val="true"/>
        <sz val="9"/>
        <color rgb="FF595959"/>
        <rFont val="Calibri"/>
        <family val="2"/>
        <charset val="1"/>
      </rPr>
      <t xml:space="preserve">藍字為可調整輸入，黃底為待薪榮確認的關鍵假設（車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Calibri"/>
        <family val="2"/>
        <charset val="1"/>
      </rPr>
      <t xml:space="preserve">日）。</t>
    </r>
  </si>
  <si>
    <r>
      <rPr>
        <i val="true"/>
        <sz val="9"/>
        <color rgb="FF595959"/>
        <rFont val="Arial"/>
        <family val="0"/>
        <charset val="1"/>
      </rPr>
      <t xml:space="preserve">5. </t>
    </r>
    <r>
      <rPr>
        <i val="true"/>
        <sz val="9"/>
        <color rgb="FF595959"/>
        <rFont val="Calibri"/>
        <family val="2"/>
        <charset val="1"/>
      </rPr>
      <t xml:space="preserve">來源：</t>
    </r>
    <r>
      <rPr>
        <i val="true"/>
        <sz val="9"/>
        <color rgb="FF595959"/>
        <rFont val="Arial"/>
        <family val="0"/>
        <charset val="1"/>
      </rPr>
      <t xml:space="preserve">ai.google.dev/gemini-api/docs/pricing</t>
    </r>
    <r>
      <rPr>
        <i val="true"/>
        <sz val="9"/>
        <color rgb="FF595959"/>
        <rFont val="Calibri"/>
        <family val="2"/>
        <charset val="1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2026-06</t>
    </r>
    <r>
      <rPr>
        <i val="true"/>
        <sz val="9"/>
        <color rgb="FF595959"/>
        <rFont val="Calibri"/>
        <family val="2"/>
        <charset val="1"/>
      </rPr>
      <t xml:space="preserve">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</si>
</sst>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\$#,##0.00"/>
    <numFmt numFmtId="168" formatCode="\$#,##0.000000"/>
    <numFmt numFmtId="169" formatCode="&quot;NT$&quot;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Calibri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C00000"/>
      <name val="Arial"/>
      <family val="0"/>
      <charset val="1"/>
    </font>
    <font>
      <b val="true"/>
      <sz val="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3" customFormat="false" ht="15" hidden="false" customHeight="false" outlineLevel="0" collapsed="false">
      <c r="B3" s="2" t="s">
        <v>2</v>
      </c>
      <c r="C3" s="2"/>
      <c r="D3" s="2"/>
      <c r="E3" s="2"/>
      <c r="F3" s="2"/>
    </row>
    <row r="5" customFormat="false" ht="15" hidden="false" customHeight="false" outlineLevel="0" collapsed="false">
      <c r="B5" s="3" t="s">
        <v>3</v>
      </c>
      <c r="C5" s="3"/>
      <c r="D5" s="3"/>
      <c r="E5" s="3"/>
      <c r="F5" s="3"/>
    </row>
    <row r="6" customFormat="false" ht="15" hidden="false" customHeight="false" outlineLevel="0" collapsed="false">
      <c r="B6" s="4" t="s">
        <v>4</v>
      </c>
      <c r="C6" s="5" t="n">
        <v>60</v>
      </c>
      <c r="D6" s="6" t="s">
        <v>5</v>
      </c>
    </row>
    <row r="7" customFormat="false" ht="15" hidden="false" customHeight="false" outlineLevel="0" collapsed="false">
      <c r="B7" s="4" t="s">
        <v>6</v>
      </c>
      <c r="C7" s="7" t="n">
        <v>2</v>
      </c>
      <c r="D7" s="6" t="s">
        <v>7</v>
      </c>
    </row>
    <row r="8" customFormat="false" ht="15" hidden="false" customHeight="false" outlineLevel="0" collapsed="false">
      <c r="B8" s="4" t="s">
        <v>8</v>
      </c>
      <c r="C8" s="7" t="n">
        <v>26</v>
      </c>
      <c r="D8" s="6" t="s">
        <v>9</v>
      </c>
    </row>
    <row r="9" customFormat="false" ht="15" hidden="false" customHeight="false" outlineLevel="0" collapsed="false">
      <c r="B9" s="8" t="s">
        <v>10</v>
      </c>
      <c r="C9" s="9" t="n">
        <v>32</v>
      </c>
      <c r="D9" s="6" t="s">
        <v>11</v>
      </c>
    </row>
    <row r="11" customFormat="false" ht="17.15" hidden="false" customHeight="false" outlineLevel="0" collapsed="false">
      <c r="B11" s="3" t="s">
        <v>12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13</v>
      </c>
      <c r="C12" s="7" t="n">
        <v>1600</v>
      </c>
    </row>
    <row r="13" customFormat="false" ht="15" hidden="false" customHeight="false" outlineLevel="0" collapsed="false">
      <c r="B13" s="4" t="s">
        <v>14</v>
      </c>
      <c r="C13" s="10" t="n">
        <v>0.1</v>
      </c>
    </row>
    <row r="14" customFormat="false" ht="15" hidden="false" customHeight="false" outlineLevel="0" collapsed="false">
      <c r="B14" s="4" t="s">
        <v>15</v>
      </c>
      <c r="C14" s="7" t="n">
        <v>10</v>
      </c>
    </row>
    <row r="15" customFormat="false" ht="15" hidden="false" customHeight="false" outlineLevel="0" collapsed="false">
      <c r="B15" s="4" t="s">
        <v>16</v>
      </c>
      <c r="C15" s="10" t="n">
        <v>0.4</v>
      </c>
    </row>
    <row r="17" customFormat="false" ht="15" hidden="false" customHeight="false" outlineLevel="0" collapsed="false">
      <c r="B17" s="3" t="s">
        <v>17</v>
      </c>
      <c r="C17" s="3"/>
      <c r="D17" s="3"/>
      <c r="E17" s="3"/>
      <c r="F17" s="3"/>
    </row>
    <row r="18" customFormat="false" ht="15" hidden="false" customHeight="false" outlineLevel="0" collapsed="false">
      <c r="B18" s="4" t="s">
        <v>18</v>
      </c>
      <c r="C18" s="11" t="n">
        <f aca="false">C6*C7*C8</f>
        <v>3120</v>
      </c>
    </row>
    <row r="19" customFormat="false" ht="15" hidden="false" customHeight="false" outlineLevel="0" collapsed="false">
      <c r="B19" s="4" t="s">
        <v>19</v>
      </c>
      <c r="C19" s="11" t="n">
        <f aca="false">C6*C7*C8</f>
        <v>3120</v>
      </c>
    </row>
    <row r="20" customFormat="false" ht="15" hidden="false" customHeight="false" outlineLevel="0" collapsed="false">
      <c r="B20" s="8" t="s">
        <v>20</v>
      </c>
      <c r="C20" s="11" t="n">
        <f aca="false">C18+C19</f>
        <v>6240</v>
      </c>
    </row>
    <row r="21" customFormat="false" ht="15" hidden="false" customHeight="false" outlineLevel="0" collapsed="false">
      <c r="B21" s="4" t="s">
        <v>21</v>
      </c>
      <c r="C21" s="12" t="n">
        <f aca="false">(C12*C13+C14*C15)/1000000</f>
        <v>0.000164</v>
      </c>
    </row>
    <row r="22" customFormat="false" ht="15" hidden="false" customHeight="false" outlineLevel="0" collapsed="false">
      <c r="B22" s="8" t="s">
        <v>22</v>
      </c>
      <c r="C22" s="13" t="n">
        <f aca="false">C20*C21</f>
        <v>1.02336</v>
      </c>
    </row>
    <row r="24" customFormat="false" ht="15" hidden="false" customHeight="false" outlineLevel="0" collapsed="false">
      <c r="B24" s="3" t="s">
        <v>23</v>
      </c>
      <c r="C24" s="3"/>
      <c r="D24" s="3"/>
      <c r="E24" s="3"/>
      <c r="F24" s="3"/>
    </row>
    <row r="25" customFormat="false" ht="15" hidden="false" customHeight="false" outlineLevel="0" collapsed="false">
      <c r="B25" s="4" t="s">
        <v>24</v>
      </c>
      <c r="C25" s="13" t="n">
        <f aca="false">C22</f>
        <v>1.02336</v>
      </c>
    </row>
    <row r="26" customFormat="false" ht="15" hidden="false" customHeight="false" outlineLevel="0" collapsed="false">
      <c r="B26" s="4" t="s">
        <v>25</v>
      </c>
      <c r="C26" s="14" t="n">
        <f aca="false">C25*C9</f>
        <v>32.74752</v>
      </c>
    </row>
    <row r="27" customFormat="false" ht="15" hidden="false" customHeight="false" outlineLevel="0" collapsed="false">
      <c r="B27" s="4" t="s">
        <v>26</v>
      </c>
      <c r="C27" s="15" t="n">
        <f aca="false">C25*12</f>
        <v>12.28032</v>
      </c>
    </row>
    <row r="28" customFormat="false" ht="15" hidden="false" customHeight="false" outlineLevel="0" collapsed="false">
      <c r="B28" s="4" t="s">
        <v>27</v>
      </c>
      <c r="C28" s="16" t="n">
        <f aca="false">C26*12</f>
        <v>392.97024</v>
      </c>
    </row>
    <row r="30" customFormat="false" ht="15" hidden="false" customHeight="false" outlineLevel="0" collapsed="false">
      <c r="B30" s="3" t="s">
        <v>28</v>
      </c>
      <c r="C30" s="3"/>
      <c r="D30" s="3"/>
      <c r="E30" s="3"/>
      <c r="F30" s="3"/>
    </row>
    <row r="31" customFormat="false" ht="15" hidden="false" customHeight="false" outlineLevel="0" collapsed="false">
      <c r="B31" s="17" t="s">
        <v>29</v>
      </c>
      <c r="C31" s="18" t="n">
        <v>30</v>
      </c>
      <c r="D31" s="18" t="n">
        <v>60</v>
      </c>
      <c r="E31" s="18" t="n">
        <v>100</v>
      </c>
    </row>
    <row r="32" customFormat="false" ht="15" hidden="false" customHeight="false" outlineLevel="0" collapsed="false">
      <c r="B32" s="8" t="s">
        <v>30</v>
      </c>
      <c r="C32" s="19" t="n">
        <f aca="false">C31*$C$7*$C$8*2</f>
        <v>3120</v>
      </c>
      <c r="D32" s="19" t="n">
        <f aca="false">D31*$C$7*$C$8*2</f>
        <v>6240</v>
      </c>
      <c r="E32" s="19" t="n">
        <f aca="false">E31*$C$7*$C$8*2</f>
        <v>10400</v>
      </c>
    </row>
    <row r="33" customFormat="false" ht="15" hidden="false" customHeight="false" outlineLevel="0" collapsed="false">
      <c r="B33" s="17" t="s">
        <v>31</v>
      </c>
      <c r="C33" s="20" t="n">
        <f aca="false">C32*$C$21</f>
        <v>0.51168</v>
      </c>
      <c r="D33" s="20" t="n">
        <f aca="false">D32*$C$21</f>
        <v>1.02336</v>
      </c>
      <c r="E33" s="20" t="n">
        <f aca="false">E32*$C$21</f>
        <v>1.7056</v>
      </c>
    </row>
    <row r="34" customFormat="false" ht="15" hidden="false" customHeight="false" outlineLevel="0" collapsed="false">
      <c r="B34" s="21" t="s">
        <v>32</v>
      </c>
      <c r="C34" s="22" t="n">
        <f aca="false">C33*$C$9</f>
        <v>16.37376</v>
      </c>
      <c r="D34" s="22" t="n">
        <f aca="false">D33*$C$9</f>
        <v>32.74752</v>
      </c>
      <c r="E34" s="22" t="n">
        <f aca="false">E33*$C$9</f>
        <v>54.5792</v>
      </c>
    </row>
    <row r="36" customFormat="false" ht="15" hidden="false" customHeight="false" outlineLevel="0" collapsed="false">
      <c r="B36" s="23" t="s">
        <v>33</v>
      </c>
    </row>
    <row r="37" customFormat="false" ht="15" hidden="false" customHeight="false" outlineLevel="0" collapsed="false">
      <c r="B37" s="24" t="s">
        <v>34</v>
      </c>
    </row>
    <row r="38" customFormat="false" ht="15" hidden="false" customHeight="false" outlineLevel="0" collapsed="false">
      <c r="B38" s="24" t="s">
        <v>35</v>
      </c>
    </row>
    <row r="39" customFormat="false" ht="15" hidden="false" customHeight="false" outlineLevel="0" collapsed="false">
      <c r="B39" s="24" t="s">
        <v>36</v>
      </c>
    </row>
    <row r="40" customFormat="false" ht="15" hidden="false" customHeight="false" outlineLevel="0" collapsed="false">
      <c r="B40" s="24" t="s">
        <v>37</v>
      </c>
    </row>
    <row r="41" customFormat="false" ht="15" hidden="false" customHeight="false" outlineLevel="0" collapsed="false">
      <c r="B41" s="24" t="s">
        <v>38</v>
      </c>
    </row>
  </sheetData>
  <mergeCells count="3">
    <mergeCell ref="B1:F1"/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2026-06-15T11:05:39Z</dcterms:created>
  <dc:creator>openpyxl</dc:creator>
  <dc:description/>
  <dc:language>zh-TW</dc:language>
  <cp:lastModifiedBy/>
  <dcterms:modified xsi:type="dcterms:W3CDTF">2026-06-15T11:05:39Z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